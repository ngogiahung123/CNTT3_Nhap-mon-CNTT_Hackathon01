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Tour" sheetId="1" r:id="rId5"/>
    <sheet state="visible" name="Tour" sheetId="2" r:id="rId6"/>
  </sheets>
  <definedNames>
    <definedName hidden="1" localSheetId="0" name="_xlnm._FilterDatabase">DatTour!$A$1:$G$16</definedName>
  </definedNames>
  <calcPr/>
</workbook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<sst xmlns="http://schemas.openxmlformats.org/spreadsheetml/2006/main" count="69" uniqueCount="51">
  <si>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</si>
  <si>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</si>
  <si>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</si>
  <si>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</si>
  <si>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</si>
  <si>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</si>
  <si>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</si>
  <si>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</si>
  <si>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</si>
  <si>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</si>
  <si>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Ha Long 2 ngay</t>
  </si>
  <si>
    <t>SP01</t>
  </si>
  <si>
    <t>Sa Pa 3 ngay</t>
  </si>
  <si>
    <t>NB01</t>
  </si>
  <si>
    <t>Ninh Binh 1 ngay</t>
  </si>
  <si>
    <t>DN01</t>
  </si>
  <si>
    <t>Da Nang 4 ngay</t>
  </si>
  <si>
    <t>PQ01</t>
  </si>
  <si>
    <t>Phu Quoc 3 ngay</t>
  </si>
  <si>
    <t>MC01</t>
  </si>
  <si>
    <t>Mai Chau 2 ngay</t>
  </si>
  <si>
    <t>DTR002</t>
  </si>
  <si>
    <t>BV01</t>
  </si>
  <si>
    <t>2026-08-02</t>
  </si>
  <si>
    <t>Ba Vi 1 ngay</t>
  </si>
  <si>
    <t>DTR003</t>
  </si>
  <si>
    <t>2026-08-03</t>
  </si>
  <si>
    <t>DTR004</t>
  </si>
  <si>
    <t>2026-08-04</t>
  </si>
  <si>
    <t>DTR005</t>
  </si>
  <si>
    <t>2026-08-05</t>
  </si>
  <si>
    <t>DTR006</t>
  </si>
  <si>
    <t>2026-08-06</t>
  </si>
  <si>
    <t>DTR007</t>
  </si>
  <si>
    <t>2026-08-07</t>
  </si>
  <si>
    <t>DTR008</t>
  </si>
  <si>
    <t>2026-08-08</t>
  </si>
  <si>
    <t>DTR009</t>
  </si>
  <si>
    <t>2026-08-09</t>
  </si>
  <si>
    <t>DTR010</t>
  </si>
  <si>
    <t>2026-08-10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</si>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</sst>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3.0</v>
      </c>
      <c r="E2" s="1" t="str">
        <f>VLOOKUP(C2,Tour!$A$1:$C$8,2,0)</f>
        <v>Ha Long 2 ngay</v>
      </c>
      <c r="F2" s="1">
        <f>VLOOKUP(C2,Tour!$A$1:$C$8,3,0)</f>
        <v>2200000</v>
      </c>
      <c r="G2" s="1">
        <f t="shared" ref="G2:G16" si="1">D2*F2</f>
        <v>6600000</v>
      </c>
    </row>
    <row r="3" hidden="1">
      <c r="A3" s="1" t="s">
        <v>21</v>
      </c>
      <c r="B3" s="1" t="s">
        <v>23</v>
      </c>
      <c r="C3" s="1" t="s">
        <v>13</v>
      </c>
      <c r="D3" s="1">
        <v>4.0</v>
      </c>
      <c r="E3" s="1" t="str">
        <f>VLOOKUP(C3,Tour!$A$1:$C$8,2,0)</f>
        <v>Ninh Binh 1 ngay</v>
      </c>
      <c r="F3" s="1">
        <f>VLOOKUP(C3,Tour!$A$1:$C$8,3,0)</f>
        <v>900000</v>
      </c>
      <c r="G3" s="1">
        <f t="shared" si="1"/>
        <v>3600000</v>
      </c>
    </row>
    <row r="4" hidden="1">
      <c r="A4" s="1" t="s">
        <v>25</v>
      </c>
      <c r="B4" s="1" t="s">
        <v>26</v>
      </c>
      <c r="C4" s="1" t="s">
        <v>19</v>
      </c>
      <c r="D4" s="1">
        <v>2.0</v>
      </c>
      <c r="E4" s="1" t="str">
        <f>VLOOKUP(C4,Tour!$A$1:$C$8,2,0)</f>
        <v>Mai Chau 2 ngay</v>
      </c>
      <c r="F4" s="1">
        <f>VLOOKUP(C4,Tour!$A$1:$C$8,3,0)</f>
        <v>1800000</v>
      </c>
      <c r="G4" s="1">
        <f t="shared" si="1"/>
        <v>3600000</v>
      </c>
    </row>
    <row r="5">
      <c r="A5" s="1" t="s">
        <v>27</v>
      </c>
      <c r="B5" s="1" t="s">
        <v>28</v>
      </c>
      <c r="C5" s="1" t="s">
        <v>19</v>
      </c>
      <c r="D5" s="1">
        <v>5.0</v>
      </c>
      <c r="E5" s="1" t="str">
        <f>VLOOKUP(C5,Tour!$A$1:$C$8,2,0)</f>
        <v>Mai Chau 2 ngay</v>
      </c>
      <c r="F5" s="1">
        <f>VLOOKUP(C5,Tour!$A$1:$C$8,3,0)</f>
        <v>1800000</v>
      </c>
      <c r="G5" s="1">
        <f t="shared" si="1"/>
        <v>9000000</v>
      </c>
    </row>
    <row r="6">
      <c r="A6" s="1" t="s">
        <v>29</v>
      </c>
      <c r="B6" s="1" t="s">
        <v>30</v>
      </c>
      <c r="C6" s="1" t="s">
        <v>15</v>
      </c>
      <c r="D6" s="1">
        <v>2.0</v>
      </c>
      <c r="E6" s="1" t="str">
        <f>VLOOKUP(C6,Tour!$A$1:$C$8,2,0)</f>
        <v>Da Nang 4 ngay</v>
      </c>
      <c r="F6" s="1">
        <f>VLOOKUP(C6,Tour!$A$1:$C$8,3,0)</f>
        <v>5500000</v>
      </c>
      <c r="G6" s="1">
        <f t="shared" si="1"/>
        <v>11000000</v>
      </c>
    </row>
    <row r="7">
      <c r="A7" s="1" t="s">
        <v>31</v>
      </c>
      <c r="B7" s="1" t="s">
        <v>32</v>
      </c>
      <c r="C7" s="1" t="s">
        <v>15</v>
      </c>
      <c r="D7" s="1">
        <v>2.0</v>
      </c>
      <c r="E7" s="1" t="str">
        <f>VLOOKUP(C7,Tour!$A$1:$C$8,2,0)</f>
        <v>Da Nang 4 ngay</v>
      </c>
      <c r="F7" s="1">
        <f>VLOOKUP(C7,Tour!$A$1:$C$8,3,0)</f>
        <v>5500000</v>
      </c>
      <c r="G7" s="1">
        <f t="shared" si="1"/>
        <v>11000000</v>
      </c>
    </row>
    <row r="8" hidden="1">
      <c r="A8" s="1" t="s">
        <v>33</v>
      </c>
      <c r="B8" s="1" t="s">
        <v>34</v>
      </c>
      <c r="C8" s="1" t="s">
        <v>22</v>
      </c>
      <c r="D8" s="1">
        <v>5.0</v>
      </c>
      <c r="E8" s="1" t="str">
        <f>VLOOKUP(C8,Tour!$A$1:$C$8,2,0)</f>
        <v>Ba Vi 1 ngay</v>
      </c>
      <c r="F8" s="1">
        <f>VLOOKUP(C8,Tour!$A$1:$C$8,3,0)</f>
        <v>600000</v>
      </c>
      <c r="G8" s="1">
        <f t="shared" si="1"/>
        <v>3000000</v>
      </c>
    </row>
    <row r="9" hidden="1">
      <c r="A9" s="1" t="s">
        <v>35</v>
      </c>
      <c r="B9" s="1" t="s">
        <v>36</v>
      </c>
      <c r="C9" s="1" t="s">
        <v>13</v>
      </c>
      <c r="D9" s="1">
        <v>1.0</v>
      </c>
      <c r="E9" s="1" t="str">
        <f>VLOOKUP(C9,Tour!$A$1:$C$8,2,0)</f>
        <v>Ninh Binh 1 ngay</v>
      </c>
      <c r="F9" s="1">
        <f>VLOOKUP(C9,Tour!$A$1:$C$8,3,0)</f>
        <v>900000</v>
      </c>
      <c r="G9" s="1">
        <f t="shared" si="1"/>
        <v>900000</v>
      </c>
    </row>
    <row r="10">
      <c r="A10" s="1" t="s">
        <v>37</v>
      </c>
      <c r="B10" s="1" t="s">
        <v>38</v>
      </c>
      <c r="C10" s="1" t="s">
        <v>17</v>
      </c>
      <c r="D10" s="1">
        <v>5.0</v>
      </c>
      <c r="E10" s="1" t="str">
        <f>VLOOKUP(C10,Tour!$A$1:$C$8,2,0)</f>
        <v>Phu Quoc 3 ngay</v>
      </c>
      <c r="F10" s="1">
        <f>VLOOKUP(C10,Tour!$A$1:$C$8,3,0)</f>
        <v>6600000</v>
      </c>
      <c r="G10" s="1">
        <f t="shared" si="1"/>
        <v>33000000</v>
      </c>
    </row>
    <row r="11">
      <c r="A11" s="1" t="s">
        <v>39</v>
      </c>
      <c r="B11" s="1" t="s">
        <v>40</v>
      </c>
      <c r="C11" s="1" t="s">
        <v>11</v>
      </c>
      <c r="D11" s="1">
        <v>3.0</v>
      </c>
      <c r="E11" s="1" t="str">
        <f>VLOOKUP(C11,Tour!$A$1:$C$8,2,0)</f>
        <v>Sa Pa 3 ngay</v>
      </c>
      <c r="F11" s="1">
        <f>VLOOKUP(C11,Tour!$A$1:$C$8,3,0)</f>
        <v>3300000</v>
      </c>
      <c r="G11" s="1">
        <f t="shared" si="1"/>
        <v>9900000</v>
      </c>
    </row>
    <row r="12" hidden="1">
      <c r="A12" s="1" t="s">
        <v>41</v>
      </c>
      <c r="B12" s="1" t="s">
        <v>42</v>
      </c>
      <c r="C12" s="1" t="s">
        <v>19</v>
      </c>
      <c r="D12" s="1">
        <v>1.0</v>
      </c>
      <c r="E12" s="1" t="str">
        <f>VLOOKUP(C12,Tour!$A$1:$C$8,2,0)</f>
        <v>Mai Chau 2 ngay</v>
      </c>
      <c r="F12" s="1">
        <f>VLOOKUP(C12,Tour!$A$1:$C$8,3,0)</f>
        <v>1800000</v>
      </c>
      <c r="G12" s="1">
        <f t="shared" si="1"/>
        <v>1800000</v>
      </c>
    </row>
    <row r="13" hidden="1">
      <c r="A13" s="1" t="s">
        <v>43</v>
      </c>
      <c r="B13" s="1" t="s">
        <v>44</v>
      </c>
      <c r="C13" s="1" t="s">
        <v>9</v>
      </c>
      <c r="D13" s="1">
        <v>2.0</v>
      </c>
      <c r="E13" s="1" t="str">
        <f>VLOOKUP(C13,Tour!$A$1:$C$8,2,0)</f>
        <v>Ha Long 2 ngay</v>
      </c>
      <c r="F13" s="1">
        <f>VLOOKUP(C13,Tour!$A$1:$C$8,3,0)</f>
        <v>2200000</v>
      </c>
      <c r="G13" s="1">
        <f t="shared" si="1"/>
        <v>4400000</v>
      </c>
    </row>
    <row r="14" hidden="1">
      <c r="A14" s="1" t="s">
        <v>45</v>
      </c>
      <c r="B14" s="1" t="s">
        <v>46</v>
      </c>
      <c r="C14" s="1" t="s">
        <v>9</v>
      </c>
      <c r="D14" s="1">
        <v>1.0</v>
      </c>
      <c r="E14" s="1" t="str">
        <f>VLOOKUP(C14,Tour!$A$1:$C$8,2,0)</f>
        <v>Ha Long 2 ngay</v>
      </c>
      <c r="F14" s="1">
        <f>VLOOKUP(C14,Tour!$A$1:$C$8,3,0)</f>
        <v>2200000</v>
      </c>
      <c r="G14" s="1">
        <f t="shared" si="1"/>
        <v>2200000</v>
      </c>
    </row>
    <row r="15">
      <c r="A15" s="1" t="s">
        <v>47</v>
      </c>
      <c r="B15" s="1" t="s">
        <v>48</v>
      </c>
      <c r="C15" s="1" t="s">
        <v>15</v>
      </c>
      <c r="D15" s="1">
        <v>4.0</v>
      </c>
      <c r="E15" s="1" t="str">
        <f>VLOOKUP(C15,Tour!$A$1:$C$8,2,0)</f>
        <v>Da Nang 4 ngay</v>
      </c>
      <c r="F15" s="1">
        <f>VLOOKUP(C15,Tour!$A$1:$C$8,3,0)</f>
        <v>5500000</v>
      </c>
      <c r="G15" s="1">
        <f t="shared" si="1"/>
        <v>22000000</v>
      </c>
    </row>
    <row r="16">
      <c r="A16" s="1" t="s">
        <v>49</v>
      </c>
      <c r="B16" s="1" t="s">
        <v>50</v>
      </c>
      <c r="C16" s="1" t="s">
        <v>9</v>
      </c>
      <c r="D16" s="1">
        <v>5.0</v>
      </c>
      <c r="E16" s="1" t="str">
        <f>VLOOKUP(C16,Tour!$A$1:$C$8,2,0)</f>
        <v>Ha Long 2 ngay</v>
      </c>
      <c r="F16" s="1">
        <f>VLOOKUP(C16,Tour!$A$1:$C$8,3,0)</f>
        <v>2200000</v>
      </c>
      <c r="G16" s="1">
        <f t="shared" si="1"/>
        <v>11000000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6">
    <filterColumn colId="6">
      <customFilters>
        <customFilter operator="greaterThanOrEqual" val="6600000"/>
      </custom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  <col customWidth="1" min="7" max="26" width="8.71"/>
  </cols>
  <sheetData>
    <row r="1">
      <c r="A1" s="1" t="s">
        <v>2</v>
      </c>
      <c r="B1" s="1" t="s">
        <v>4</v>
      </c>
      <c r="C1" s="1" t="s">
        <v>5</v>
      </c>
    </row>
    <row r="2">
      <c r="A2" s="1" t="s">
        <v>9</v>
      </c>
      <c r="B2" s="1" t="s">
        <v>10</v>
      </c>
      <c r="C2" s="1">
        <v>2200000.0</v>
      </c>
    </row>
    <row r="3">
      <c r="A3" s="1" t="s">
        <v>11</v>
      </c>
      <c r="B3" s="1" t="s">
        <v>12</v>
      </c>
      <c r="C3" s="1">
        <v>3300000.0</v>
      </c>
    </row>
    <row r="4">
      <c r="A4" s="1" t="s">
        <v>13</v>
      </c>
      <c r="B4" s="1" t="s">
        <v>14</v>
      </c>
      <c r="C4" s="1">
        <v>900000.0</v>
      </c>
    </row>
    <row r="5">
      <c r="A5" s="1" t="s">
        <v>15</v>
      </c>
      <c r="B5" s="1" t="s">
        <v>16</v>
      </c>
      <c r="C5" s="1">
        <v>5500000.0</v>
      </c>
    </row>
    <row r="6">
      <c r="A6" s="1" t="s">
        <v>17</v>
      </c>
      <c r="B6" s="1" t="s">
        <v>18</v>
      </c>
      <c r="C6" s="1">
        <v>6600000.0</v>
      </c>
    </row>
    <row r="7">
      <c r="A7" s="1" t="s">
        <v>19</v>
      </c>
      <c r="B7" s="1" t="s">
        <v>20</v>
      </c>
      <c r="C7" s="1">
        <v>1800000.0</v>
      </c>
    </row>
    <row r="8">
      <c r="A8" s="1" t="s">
        <v>22</v>
      </c>
      <c r="B8" s="1" t="s">
        <v>24</v>
      </c>
      <c r="C8" s="1">
        <v>600000.0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